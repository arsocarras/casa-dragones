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ocarras/Documents/USA Business Strategy - Josh Projects/ACV Data Project/code/"/>
    </mc:Choice>
  </mc:AlternateContent>
  <xr:revisionPtr revIDLastSave="0" documentId="13_ncr:1_{D9156BB6-83A3-A540-BA21-8F9098604681}" xr6:coauthVersionLast="47" xr6:coauthVersionMax="47" xr10:uidLastSave="{00000000-0000-0000-0000-000000000000}"/>
  <bookViews>
    <workbookView xWindow="46340" yWindow="2280" windowWidth="19080" windowHeight="15940" activeTab="1" xr2:uid="{86E976F0-0170-C748-BD7E-8D1025F8D6B5}"/>
  </bookViews>
  <sheets>
    <sheet name="state_to_region" sheetId="3" r:id="rId1"/>
    <sheet name="state_to_sgws_region" sheetId="4" r:id="rId2"/>
    <sheet name="MAP" sheetId="2" r:id="rId3"/>
    <sheet name="original_MAP" sheetId="1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1" i="4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1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2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2" i="1"/>
</calcChain>
</file>

<file path=xl/sharedStrings.xml><?xml version="1.0" encoding="utf-8"?>
<sst xmlns="http://schemas.openxmlformats.org/spreadsheetml/2006/main" count="558" uniqueCount="83">
  <si>
    <t>Market</t>
  </si>
  <si>
    <t>SGWS-AO</t>
  </si>
  <si>
    <t>Region</t>
  </si>
  <si>
    <t>SGWS-Control-AO</t>
  </si>
  <si>
    <t>SGWS Region</t>
  </si>
  <si>
    <t>State</t>
  </si>
  <si>
    <t>SoCal</t>
  </si>
  <si>
    <t>SGWS</t>
  </si>
  <si>
    <t>West</t>
  </si>
  <si>
    <t>SGWS Open</t>
  </si>
  <si>
    <t>CA</t>
  </si>
  <si>
    <t>NoCal</t>
  </si>
  <si>
    <t>TX</t>
  </si>
  <si>
    <t>Central</t>
  </si>
  <si>
    <t>NV Las Vegas</t>
  </si>
  <si>
    <t>FL</t>
  </si>
  <si>
    <t>East</t>
  </si>
  <si>
    <t>NV Sparks</t>
  </si>
  <si>
    <t>NV</t>
  </si>
  <si>
    <t>CO</t>
  </si>
  <si>
    <t>NY</t>
  </si>
  <si>
    <t>AZ</t>
  </si>
  <si>
    <t>WA</t>
  </si>
  <si>
    <t>LA</t>
  </si>
  <si>
    <t>HI</t>
  </si>
  <si>
    <t>KY</t>
  </si>
  <si>
    <t>MD</t>
  </si>
  <si>
    <t>NM</t>
  </si>
  <si>
    <t>DC</t>
  </si>
  <si>
    <t>AK</t>
  </si>
  <si>
    <t>NY Metro</t>
  </si>
  <si>
    <t>IL</t>
  </si>
  <si>
    <t>NY Upstate</t>
  </si>
  <si>
    <t>IN</t>
  </si>
  <si>
    <t>TX Dallas</t>
  </si>
  <si>
    <t>TX Houston</t>
  </si>
  <si>
    <t>OK</t>
  </si>
  <si>
    <t>NE</t>
  </si>
  <si>
    <t>GA</t>
  </si>
  <si>
    <t>AO</t>
  </si>
  <si>
    <t>Non-SGWS</t>
  </si>
  <si>
    <t>MO</t>
  </si>
  <si>
    <t>NJ Fedway</t>
  </si>
  <si>
    <t>NJ Allied</t>
  </si>
  <si>
    <t>DE</t>
  </si>
  <si>
    <t>TN BB</t>
  </si>
  <si>
    <t>SC</t>
  </si>
  <si>
    <t>TN SGWS</t>
  </si>
  <si>
    <t>KS</t>
  </si>
  <si>
    <t>MA</t>
  </si>
  <si>
    <t>MN</t>
  </si>
  <si>
    <t>CT</t>
  </si>
  <si>
    <t>AR</t>
  </si>
  <si>
    <t>SD</t>
  </si>
  <si>
    <t>ND</t>
  </si>
  <si>
    <t>TN</t>
  </si>
  <si>
    <t>WI</t>
  </si>
  <si>
    <t>VA</t>
  </si>
  <si>
    <t>Control</t>
  </si>
  <si>
    <t>RI</t>
  </si>
  <si>
    <t>IA</t>
  </si>
  <si>
    <t>NC</t>
  </si>
  <si>
    <t>MI</t>
  </si>
  <si>
    <t>UT</t>
  </si>
  <si>
    <t>NH</t>
  </si>
  <si>
    <t>OH</t>
  </si>
  <si>
    <t>PA</t>
  </si>
  <si>
    <t>OR</t>
  </si>
  <si>
    <t>MS</t>
  </si>
  <si>
    <t>ME</t>
  </si>
  <si>
    <t>MT</t>
  </si>
  <si>
    <t>WY</t>
  </si>
  <si>
    <t>ID</t>
  </si>
  <si>
    <t>VT</t>
  </si>
  <si>
    <t>WV</t>
  </si>
  <si>
    <t>AL</t>
  </si>
  <si>
    <t>TX San Antonio</t>
  </si>
  <si>
    <t>XX</t>
  </si>
  <si>
    <t>NJ</t>
  </si>
  <si>
    <t>DUFRY</t>
  </si>
  <si>
    <t>PR</t>
  </si>
  <si>
    <t>ROW</t>
  </si>
  <si>
    <t>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</si>
</sst>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theme="1"/>
      <name val="EngraversGothic BT"/>
      <family val="2"/>
    </font>
    <font>
      <b/>
      <sz val="10"/>
      <color rgb="FF305496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1">
    <xf numFmtId="0" fontId="0" fillId="0" borderId="0" xfId="0"/>
    <xf numFmtId="0" fontId="1" fillId="0" borderId="0" xfId="1"/>
    <xf numFmtId="0" fontId="2" fillId="0" borderId="0" xfId="1" applyFont="1"/>
    <xf numFmtId="0" fontId="1" fillId="2" borderId="0" xfId="1" applyFill="1"/>
    <xf numFmtId="0" fontId="1" fillId="3" borderId="0" xfId="1" applyFill="1"/>
    <xf numFmtId="0" fontId="1" fillId="4" borderId="0" xfId="1" applyFill="1"/>
    <xf numFmtId="0" fontId="1" fillId="5" borderId="0" xfId="1" applyFill="1"/>
    <xf numFmtId="0" fontId="0" fillId="6" borderId="0" xfId="0" applyFill="1"/>
    <xf numFmtId="0" fontId="3" fillId="7" borderId="1" xfId="0" applyFont="1" applyFill="1" applyBorder="1" applyAlignment="1">
      <alignment horizontal="left"/>
    </xf>
    <xf numFmtId="0" fontId="3" fillId="7" borderId="1" xfId="2" applyFont="1" applyFill="1" applyBorder="1" applyAlignment="1">
      <alignment horizontal="left"/>
    </xf>
    <xf numFmtId="0" fontId="0" fillId="0" borderId="0" xfId="0" applyAlignment="1">
      <alignment horizontal="center"/>
    </xf>
  </cellXfs>
  <cellStyles count="3">
    <cellStyle name="Normal" xfId="0" builtinId="0"/>
    <cellStyle name="Normal 23" xfId="2" xr:uid="{79C7A19B-6116-E94E-AAF2-E79F6B482C7C}"/>
    <cellStyle name="Normal 3" xfId="1" xr:uid="{DF61D20A-C317-0840-8C78-577FB5F1D6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89A8D-1D12-D94A-8ED9-B02F7D23CE29}">
  <dimension ref="A1:B49"/>
  <sheetViews>
    <sheetView topLeftCell="A20" workbookViewId="0">
      <selection activeCell="B33" sqref="B33:B49"/>
    </sheetView>
  </sheetViews>
  <sheetFormatPr baseColWidth="10" defaultRowHeight="16" x14ac:dyDescent="0.2"/>
  <sheetData>
    <row r="1" spans="1:2" x14ac:dyDescent="0.2">
      <c r="A1" s="10" t="s">
        <v>5</v>
      </c>
      <c r="B1" t="str">
        <f>MAP!C1</f>
        <v>Region</v>
      </c>
    </row>
    <row r="2" spans="1:2" x14ac:dyDescent="0.2">
      <c r="A2" s="10" t="s">
        <v>10</v>
      </c>
      <c r="B2" t="str">
        <f>MAP!C2</f>
        <v>West</v>
      </c>
    </row>
    <row r="3" spans="1:2" x14ac:dyDescent="0.2">
      <c r="A3" s="10" t="s">
        <v>12</v>
      </c>
      <c r="B3" t="str">
        <f>MAP!C3</f>
        <v>East</v>
      </c>
    </row>
    <row r="4" spans="1:2" x14ac:dyDescent="0.2">
      <c r="A4" s="10" t="s">
        <v>15</v>
      </c>
      <c r="B4" t="str">
        <f>MAP!C4</f>
        <v>East</v>
      </c>
    </row>
    <row r="5" spans="1:2" x14ac:dyDescent="0.2">
      <c r="A5" s="10" t="s">
        <v>18</v>
      </c>
      <c r="B5" t="str">
        <f>MAP!C5</f>
        <v>West</v>
      </c>
    </row>
    <row r="6" spans="1:2" x14ac:dyDescent="0.2">
      <c r="A6" s="10" t="s">
        <v>20</v>
      </c>
      <c r="B6" t="str">
        <f>MAP!C6</f>
        <v>East</v>
      </c>
    </row>
    <row r="7" spans="1:2" x14ac:dyDescent="0.2">
      <c r="A7" s="10" t="s">
        <v>22</v>
      </c>
      <c r="B7" t="str">
        <f>MAP!C7</f>
        <v>West</v>
      </c>
    </row>
    <row r="8" spans="1:2" x14ac:dyDescent="0.2">
      <c r="A8" s="10" t="s">
        <v>21</v>
      </c>
      <c r="B8" t="str">
        <f>MAP!C8</f>
        <v>West</v>
      </c>
    </row>
    <row r="9" spans="1:2" x14ac:dyDescent="0.2">
      <c r="A9" s="10" t="s">
        <v>25</v>
      </c>
      <c r="B9" t="str">
        <f>MAP!C9</f>
        <v>East</v>
      </c>
    </row>
    <row r="10" spans="1:2" x14ac:dyDescent="0.2">
      <c r="A10" s="10" t="s">
        <v>26</v>
      </c>
      <c r="B10" t="str">
        <f>MAP!C10</f>
        <v>East</v>
      </c>
    </row>
    <row r="11" spans="1:2" x14ac:dyDescent="0.2">
      <c r="A11" s="10" t="s">
        <v>28</v>
      </c>
      <c r="B11" t="str">
        <f>MAP!C11</f>
        <v>East</v>
      </c>
    </row>
    <row r="12" spans="1:2" x14ac:dyDescent="0.2">
      <c r="A12" s="10" t="s">
        <v>23</v>
      </c>
      <c r="B12" t="str">
        <f>MAP!C12</f>
        <v>West</v>
      </c>
    </row>
    <row r="13" spans="1:2" x14ac:dyDescent="0.2">
      <c r="A13" s="10" t="s">
        <v>31</v>
      </c>
      <c r="B13" t="str">
        <f>MAP!C13</f>
        <v>East</v>
      </c>
    </row>
    <row r="14" spans="1:2" x14ac:dyDescent="0.2">
      <c r="A14" s="10" t="s">
        <v>33</v>
      </c>
      <c r="B14" t="str">
        <f>MAP!C14</f>
        <v>East</v>
      </c>
    </row>
    <row r="15" spans="1:2" x14ac:dyDescent="0.2">
      <c r="A15" s="10" t="s">
        <v>19</v>
      </c>
      <c r="B15" t="str">
        <f>MAP!C15</f>
        <v>West</v>
      </c>
    </row>
    <row r="16" spans="1:2" x14ac:dyDescent="0.2">
      <c r="A16" s="10" t="s">
        <v>27</v>
      </c>
      <c r="B16" t="str">
        <f>MAP!C16</f>
        <v>West</v>
      </c>
    </row>
    <row r="17" spans="1:2" x14ac:dyDescent="0.2">
      <c r="A17" s="10" t="s">
        <v>36</v>
      </c>
      <c r="B17" t="str">
        <f>MAP!C17</f>
        <v>Central</v>
      </c>
    </row>
    <row r="18" spans="1:2" x14ac:dyDescent="0.2">
      <c r="A18" s="10" t="s">
        <v>37</v>
      </c>
      <c r="B18" t="str">
        <f>MAP!C18</f>
        <v>Central</v>
      </c>
    </row>
    <row r="19" spans="1:2" x14ac:dyDescent="0.2">
      <c r="A19" s="10" t="s">
        <v>41</v>
      </c>
      <c r="B19" t="str">
        <f>MAP!C19</f>
        <v>Central</v>
      </c>
    </row>
    <row r="20" spans="1:2" x14ac:dyDescent="0.2">
      <c r="A20" s="10" t="s">
        <v>24</v>
      </c>
      <c r="B20" t="str">
        <f>MAP!C20</f>
        <v>West</v>
      </c>
    </row>
    <row r="21" spans="1:2" x14ac:dyDescent="0.2">
      <c r="A21" s="10" t="s">
        <v>44</v>
      </c>
      <c r="B21" t="str">
        <f>MAP!C21</f>
        <v>East</v>
      </c>
    </row>
    <row r="22" spans="1:2" x14ac:dyDescent="0.2">
      <c r="A22" s="10" t="s">
        <v>46</v>
      </c>
      <c r="B22" t="str">
        <f>MAP!C22</f>
        <v>East</v>
      </c>
    </row>
    <row r="23" spans="1:2" x14ac:dyDescent="0.2">
      <c r="A23" s="10" t="s">
        <v>48</v>
      </c>
      <c r="B23" t="str">
        <f>MAP!C23</f>
        <v>Central</v>
      </c>
    </row>
    <row r="24" spans="1:2" x14ac:dyDescent="0.2">
      <c r="A24" s="10" t="s">
        <v>50</v>
      </c>
      <c r="B24" t="str">
        <f>MAP!C24</f>
        <v>Central</v>
      </c>
    </row>
    <row r="25" spans="1:2" x14ac:dyDescent="0.2">
      <c r="A25" s="10" t="s">
        <v>29</v>
      </c>
      <c r="B25" t="str">
        <f>MAP!C25</f>
        <v>West</v>
      </c>
    </row>
    <row r="26" spans="1:2" x14ac:dyDescent="0.2">
      <c r="A26" s="10" t="s">
        <v>52</v>
      </c>
      <c r="B26" t="str">
        <f>MAP!C26</f>
        <v>Central</v>
      </c>
    </row>
    <row r="27" spans="1:2" x14ac:dyDescent="0.2">
      <c r="A27" s="10" t="s">
        <v>53</v>
      </c>
      <c r="B27" t="str">
        <f>MAP!C27</f>
        <v>Central</v>
      </c>
    </row>
    <row r="28" spans="1:2" x14ac:dyDescent="0.2">
      <c r="A28" s="10" t="s">
        <v>54</v>
      </c>
      <c r="B28" t="str">
        <f>MAP!C28</f>
        <v>Central</v>
      </c>
    </row>
    <row r="29" spans="1:2" x14ac:dyDescent="0.2">
      <c r="A29" s="10" t="s">
        <v>55</v>
      </c>
      <c r="B29" t="str">
        <f>MAP!C29</f>
        <v>East</v>
      </c>
    </row>
    <row r="30" spans="1:2" x14ac:dyDescent="0.2">
      <c r="A30" s="10" t="s">
        <v>57</v>
      </c>
      <c r="B30" t="str">
        <f>MAP!C30</f>
        <v>Control</v>
      </c>
    </row>
    <row r="31" spans="1:2" x14ac:dyDescent="0.2">
      <c r="A31" s="10" t="s">
        <v>60</v>
      </c>
      <c r="B31" t="str">
        <f>MAP!C31</f>
        <v>Control</v>
      </c>
    </row>
    <row r="32" spans="1:2" x14ac:dyDescent="0.2">
      <c r="A32" s="10" t="s">
        <v>51</v>
      </c>
      <c r="B32" t="str">
        <f>MAP!C32</f>
        <v>East</v>
      </c>
    </row>
    <row r="33" spans="1:2" x14ac:dyDescent="0.2">
      <c r="A33" s="6" t="s">
        <v>61</v>
      </c>
      <c r="B33" s="6" t="s">
        <v>58</v>
      </c>
    </row>
    <row r="34" spans="1:2" x14ac:dyDescent="0.2">
      <c r="A34" s="6" t="s">
        <v>62</v>
      </c>
      <c r="B34" s="6" t="s">
        <v>58</v>
      </c>
    </row>
    <row r="35" spans="1:2" x14ac:dyDescent="0.2">
      <c r="A35" s="6" t="s">
        <v>63</v>
      </c>
      <c r="B35" s="6" t="s">
        <v>58</v>
      </c>
    </row>
    <row r="36" spans="1:2" x14ac:dyDescent="0.2">
      <c r="A36" s="6" t="s">
        <v>64</v>
      </c>
      <c r="B36" s="6" t="s">
        <v>58</v>
      </c>
    </row>
    <row r="37" spans="1:2" x14ac:dyDescent="0.2">
      <c r="A37" s="6" t="s">
        <v>57</v>
      </c>
      <c r="B37" s="6" t="s">
        <v>58</v>
      </c>
    </row>
    <row r="38" spans="1:2" x14ac:dyDescent="0.2">
      <c r="A38" s="6" t="s">
        <v>65</v>
      </c>
      <c r="B38" s="6" t="s">
        <v>58</v>
      </c>
    </row>
    <row r="39" spans="1:2" x14ac:dyDescent="0.2">
      <c r="A39" s="6" t="s">
        <v>66</v>
      </c>
      <c r="B39" s="6" t="s">
        <v>58</v>
      </c>
    </row>
    <row r="40" spans="1:2" x14ac:dyDescent="0.2">
      <c r="A40" s="6" t="s">
        <v>67</v>
      </c>
      <c r="B40" s="6" t="s">
        <v>58</v>
      </c>
    </row>
    <row r="41" spans="1:2" x14ac:dyDescent="0.2">
      <c r="A41" s="6" t="s">
        <v>68</v>
      </c>
      <c r="B41" s="6" t="s">
        <v>58</v>
      </c>
    </row>
    <row r="42" spans="1:2" x14ac:dyDescent="0.2">
      <c r="A42" s="6" t="s">
        <v>69</v>
      </c>
      <c r="B42" s="6" t="s">
        <v>58</v>
      </c>
    </row>
    <row r="43" spans="1:2" x14ac:dyDescent="0.2">
      <c r="A43" s="6" t="s">
        <v>70</v>
      </c>
      <c r="B43" s="6" t="s">
        <v>58</v>
      </c>
    </row>
    <row r="44" spans="1:2" x14ac:dyDescent="0.2">
      <c r="A44" s="6" t="s">
        <v>71</v>
      </c>
      <c r="B44" s="6" t="s">
        <v>58</v>
      </c>
    </row>
    <row r="45" spans="1:2" x14ac:dyDescent="0.2">
      <c r="A45" s="6" t="s">
        <v>72</v>
      </c>
      <c r="B45" s="6" t="s">
        <v>58</v>
      </c>
    </row>
    <row r="46" spans="1:2" x14ac:dyDescent="0.2">
      <c r="A46" s="6" t="s">
        <v>60</v>
      </c>
      <c r="B46" s="6" t="s">
        <v>58</v>
      </c>
    </row>
    <row r="47" spans="1:2" x14ac:dyDescent="0.2">
      <c r="A47" s="6" t="s">
        <v>73</v>
      </c>
      <c r="B47" s="6" t="s">
        <v>58</v>
      </c>
    </row>
    <row r="48" spans="1:2" x14ac:dyDescent="0.2">
      <c r="A48" s="6" t="s">
        <v>74</v>
      </c>
      <c r="B48" s="6" t="s">
        <v>58</v>
      </c>
    </row>
    <row r="49" spans="1:2" x14ac:dyDescent="0.2">
      <c r="A49" s="6" t="s">
        <v>75</v>
      </c>
      <c r="B49" s="6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A969E-5F6D-BD4E-9D5A-27D41C1F91ED}">
  <dimension ref="A1:B49"/>
  <sheetViews>
    <sheetView tabSelected="1" workbookViewId="0">
      <selection activeCell="F13" sqref="F13"/>
    </sheetView>
  </sheetViews>
  <sheetFormatPr baseColWidth="10" defaultRowHeight="16" x14ac:dyDescent="0.2"/>
  <sheetData>
    <row r="1" spans="1:2" x14ac:dyDescent="0.2">
      <c r="A1" s="10" t="s">
        <v>5</v>
      </c>
      <c r="B1" t="str">
        <f>MAP!B1</f>
        <v>SGWS Region</v>
      </c>
    </row>
    <row r="2" spans="1:2" x14ac:dyDescent="0.2">
      <c r="A2" s="10" t="s">
        <v>10</v>
      </c>
      <c r="B2" t="str">
        <f>MAP!B2</f>
        <v>West</v>
      </c>
    </row>
    <row r="3" spans="1:2" x14ac:dyDescent="0.2">
      <c r="A3" s="10" t="s">
        <v>12</v>
      </c>
      <c r="B3" t="str">
        <f>MAP!B3</f>
        <v>Central</v>
      </c>
    </row>
    <row r="4" spans="1:2" x14ac:dyDescent="0.2">
      <c r="A4" s="10" t="s">
        <v>15</v>
      </c>
      <c r="B4" t="str">
        <f>MAP!B4</f>
        <v>East</v>
      </c>
    </row>
    <row r="5" spans="1:2" x14ac:dyDescent="0.2">
      <c r="A5" s="10" t="s">
        <v>18</v>
      </c>
      <c r="B5" t="str">
        <f>MAP!B5</f>
        <v>West</v>
      </c>
    </row>
    <row r="6" spans="1:2" x14ac:dyDescent="0.2">
      <c r="A6" s="10" t="s">
        <v>20</v>
      </c>
      <c r="B6" t="str">
        <f>MAP!B6</f>
        <v>East</v>
      </c>
    </row>
    <row r="7" spans="1:2" x14ac:dyDescent="0.2">
      <c r="A7" s="10" t="s">
        <v>22</v>
      </c>
      <c r="B7" t="str">
        <f>MAP!B7</f>
        <v>West</v>
      </c>
    </row>
    <row r="8" spans="1:2" x14ac:dyDescent="0.2">
      <c r="A8" s="10" t="s">
        <v>21</v>
      </c>
      <c r="B8" t="str">
        <f>MAP!B8</f>
        <v>West</v>
      </c>
    </row>
    <row r="9" spans="1:2" x14ac:dyDescent="0.2">
      <c r="A9" s="10" t="s">
        <v>25</v>
      </c>
      <c r="B9" t="str">
        <f>MAP!B9</f>
        <v>East</v>
      </c>
    </row>
    <row r="10" spans="1:2" x14ac:dyDescent="0.2">
      <c r="A10" s="10" t="s">
        <v>26</v>
      </c>
      <c r="B10" t="str">
        <f>MAP!B10</f>
        <v>East</v>
      </c>
    </row>
    <row r="11" spans="1:2" x14ac:dyDescent="0.2">
      <c r="A11" s="10" t="s">
        <v>28</v>
      </c>
      <c r="B11" t="str">
        <f>MAP!B11</f>
        <v>East</v>
      </c>
    </row>
    <row r="12" spans="1:2" x14ac:dyDescent="0.2">
      <c r="A12" s="10" t="s">
        <v>23</v>
      </c>
      <c r="B12" t="str">
        <f>MAP!B12</f>
        <v>Central</v>
      </c>
    </row>
    <row r="13" spans="1:2" x14ac:dyDescent="0.2">
      <c r="A13" s="10" t="s">
        <v>31</v>
      </c>
      <c r="B13" t="str">
        <f>MAP!B13</f>
        <v>Central</v>
      </c>
    </row>
    <row r="14" spans="1:2" x14ac:dyDescent="0.2">
      <c r="A14" s="10" t="s">
        <v>33</v>
      </c>
      <c r="B14" t="str">
        <f>MAP!B14</f>
        <v>Central</v>
      </c>
    </row>
    <row r="15" spans="1:2" x14ac:dyDescent="0.2">
      <c r="A15" s="10" t="s">
        <v>19</v>
      </c>
      <c r="B15" t="str">
        <f>MAP!B15</f>
        <v>Central</v>
      </c>
    </row>
    <row r="16" spans="1:2" x14ac:dyDescent="0.2">
      <c r="A16" s="10" t="s">
        <v>27</v>
      </c>
      <c r="B16" t="str">
        <f>MAP!B16</f>
        <v>West</v>
      </c>
    </row>
    <row r="17" spans="1:2" x14ac:dyDescent="0.2">
      <c r="A17" s="10" t="s">
        <v>36</v>
      </c>
      <c r="B17" t="str">
        <f>MAP!B17</f>
        <v>Central</v>
      </c>
    </row>
    <row r="18" spans="1:2" x14ac:dyDescent="0.2">
      <c r="A18" s="10" t="s">
        <v>37</v>
      </c>
      <c r="B18" t="str">
        <f>MAP!B18</f>
        <v>Central</v>
      </c>
    </row>
    <row r="19" spans="1:2" x14ac:dyDescent="0.2">
      <c r="A19" s="10" t="s">
        <v>41</v>
      </c>
      <c r="B19" t="str">
        <f>MAP!B19</f>
        <v>Central</v>
      </c>
    </row>
    <row r="20" spans="1:2" x14ac:dyDescent="0.2">
      <c r="A20" s="10" t="s">
        <v>24</v>
      </c>
      <c r="B20" t="str">
        <f>MAP!B20</f>
        <v>West</v>
      </c>
    </row>
    <row r="21" spans="1:2" x14ac:dyDescent="0.2">
      <c r="A21" s="10" t="s">
        <v>44</v>
      </c>
      <c r="B21" t="str">
        <f>MAP!B21</f>
        <v>East</v>
      </c>
    </row>
    <row r="22" spans="1:2" x14ac:dyDescent="0.2">
      <c r="A22" s="10" t="s">
        <v>46</v>
      </c>
      <c r="B22" t="str">
        <f>MAP!B22</f>
        <v>East</v>
      </c>
    </row>
    <row r="23" spans="1:2" x14ac:dyDescent="0.2">
      <c r="A23" s="10" t="s">
        <v>48</v>
      </c>
      <c r="B23" t="str">
        <f>MAP!B23</f>
        <v>Central</v>
      </c>
    </row>
    <row r="24" spans="1:2" x14ac:dyDescent="0.2">
      <c r="A24" s="10" t="s">
        <v>50</v>
      </c>
      <c r="B24" t="str">
        <f>MAP!B24</f>
        <v>Central</v>
      </c>
    </row>
    <row r="25" spans="1:2" x14ac:dyDescent="0.2">
      <c r="A25" s="10" t="s">
        <v>29</v>
      </c>
      <c r="B25" t="str">
        <f>MAP!B25</f>
        <v>West</v>
      </c>
    </row>
    <row r="26" spans="1:2" x14ac:dyDescent="0.2">
      <c r="A26" s="10" t="s">
        <v>52</v>
      </c>
      <c r="B26" t="str">
        <f>MAP!B26</f>
        <v>Central</v>
      </c>
    </row>
    <row r="27" spans="1:2" x14ac:dyDescent="0.2">
      <c r="A27" s="10" t="s">
        <v>53</v>
      </c>
      <c r="B27" t="str">
        <f>MAP!B27</f>
        <v>Central</v>
      </c>
    </row>
    <row r="28" spans="1:2" x14ac:dyDescent="0.2">
      <c r="A28" s="10" t="s">
        <v>54</v>
      </c>
      <c r="B28" t="str">
        <f>MAP!B28</f>
        <v>Central</v>
      </c>
    </row>
    <row r="29" spans="1:2" x14ac:dyDescent="0.2">
      <c r="A29" s="10" t="s">
        <v>55</v>
      </c>
      <c r="B29" t="str">
        <f>MAP!B29</f>
        <v>Central</v>
      </c>
    </row>
    <row r="30" spans="1:2" x14ac:dyDescent="0.2">
      <c r="A30" s="10" t="s">
        <v>57</v>
      </c>
      <c r="B30" t="str">
        <f>MAP!B30</f>
        <v>Control</v>
      </c>
    </row>
    <row r="31" spans="1:2" x14ac:dyDescent="0.2">
      <c r="A31" s="10" t="s">
        <v>60</v>
      </c>
      <c r="B31" t="str">
        <f>MAP!B31</f>
        <v>Control</v>
      </c>
    </row>
    <row r="32" spans="1:2" x14ac:dyDescent="0.2">
      <c r="A32" s="10" t="s">
        <v>51</v>
      </c>
      <c r="B32" t="str">
        <f>MAP!B32</f>
        <v>Non-SGWS</v>
      </c>
    </row>
    <row r="33" spans="1:2" x14ac:dyDescent="0.2">
      <c r="A33" s="6" t="s">
        <v>61</v>
      </c>
      <c r="B33" s="6" t="s">
        <v>58</v>
      </c>
    </row>
    <row r="34" spans="1:2" x14ac:dyDescent="0.2">
      <c r="A34" s="6" t="s">
        <v>62</v>
      </c>
      <c r="B34" s="6" t="s">
        <v>58</v>
      </c>
    </row>
    <row r="35" spans="1:2" x14ac:dyDescent="0.2">
      <c r="A35" s="6" t="s">
        <v>63</v>
      </c>
      <c r="B35" s="6" t="s">
        <v>58</v>
      </c>
    </row>
    <row r="36" spans="1:2" x14ac:dyDescent="0.2">
      <c r="A36" s="6" t="s">
        <v>64</v>
      </c>
      <c r="B36" s="6" t="s">
        <v>58</v>
      </c>
    </row>
    <row r="37" spans="1:2" x14ac:dyDescent="0.2">
      <c r="A37" s="6" t="s">
        <v>57</v>
      </c>
      <c r="B37" s="6" t="s">
        <v>58</v>
      </c>
    </row>
    <row r="38" spans="1:2" x14ac:dyDescent="0.2">
      <c r="A38" s="6" t="s">
        <v>65</v>
      </c>
      <c r="B38" s="6" t="s">
        <v>58</v>
      </c>
    </row>
    <row r="39" spans="1:2" x14ac:dyDescent="0.2">
      <c r="A39" s="6" t="s">
        <v>66</v>
      </c>
      <c r="B39" s="6" t="s">
        <v>58</v>
      </c>
    </row>
    <row r="40" spans="1:2" x14ac:dyDescent="0.2">
      <c r="A40" s="6" t="s">
        <v>67</v>
      </c>
      <c r="B40" s="6" t="s">
        <v>58</v>
      </c>
    </row>
    <row r="41" spans="1:2" x14ac:dyDescent="0.2">
      <c r="A41" s="6" t="s">
        <v>68</v>
      </c>
      <c r="B41" s="6" t="s">
        <v>58</v>
      </c>
    </row>
    <row r="42" spans="1:2" x14ac:dyDescent="0.2">
      <c r="A42" s="6" t="s">
        <v>69</v>
      </c>
      <c r="B42" s="6" t="s">
        <v>58</v>
      </c>
    </row>
    <row r="43" spans="1:2" x14ac:dyDescent="0.2">
      <c r="A43" s="6" t="s">
        <v>70</v>
      </c>
      <c r="B43" s="6" t="s">
        <v>58</v>
      </c>
    </row>
    <row r="44" spans="1:2" x14ac:dyDescent="0.2">
      <c r="A44" s="6" t="s">
        <v>71</v>
      </c>
      <c r="B44" s="6" t="s">
        <v>58</v>
      </c>
    </row>
    <row r="45" spans="1:2" x14ac:dyDescent="0.2">
      <c r="A45" s="6" t="s">
        <v>72</v>
      </c>
      <c r="B45" s="6" t="s">
        <v>58</v>
      </c>
    </row>
    <row r="46" spans="1:2" x14ac:dyDescent="0.2">
      <c r="A46" s="6" t="s">
        <v>60</v>
      </c>
      <c r="B46" s="6" t="s">
        <v>58</v>
      </c>
    </row>
    <row r="47" spans="1:2" x14ac:dyDescent="0.2">
      <c r="A47" s="6" t="s">
        <v>73</v>
      </c>
      <c r="B47" s="6" t="s">
        <v>58</v>
      </c>
    </row>
    <row r="48" spans="1:2" x14ac:dyDescent="0.2">
      <c r="A48" s="6" t="s">
        <v>74</v>
      </c>
      <c r="B48" s="6" t="s">
        <v>58</v>
      </c>
    </row>
    <row r="49" spans="1:2" x14ac:dyDescent="0.2">
      <c r="A49" s="6" t="s">
        <v>75</v>
      </c>
      <c r="B49" s="6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9DE74-7A44-EA4D-8467-0715F98C1EA9}">
  <dimension ref="A1:C32"/>
  <sheetViews>
    <sheetView workbookViewId="0">
      <selection sqref="A1:A32"/>
    </sheetView>
  </sheetViews>
  <sheetFormatPr baseColWidth="10" defaultRowHeight="16" x14ac:dyDescent="0.2"/>
  <cols>
    <col min="2" max="2" width="12" bestFit="1" customWidth="1"/>
  </cols>
  <sheetData>
    <row r="1" spans="1:3" x14ac:dyDescent="0.2">
      <c r="A1" s="10" t="s">
        <v>5</v>
      </c>
      <c r="B1" s="10" t="s">
        <v>4</v>
      </c>
      <c r="C1" s="10" t="s">
        <v>2</v>
      </c>
    </row>
    <row r="2" spans="1:3" x14ac:dyDescent="0.2">
      <c r="A2" s="10" t="s">
        <v>10</v>
      </c>
      <c r="B2" s="10" t="s">
        <v>8</v>
      </c>
      <c r="C2" s="10" t="str">
        <f>_xlfn.XLOOKUP(A2,original_MAP!A:A,original_MAP!C:C)</f>
        <v>West</v>
      </c>
    </row>
    <row r="3" spans="1:3" x14ac:dyDescent="0.2">
      <c r="A3" s="10" t="s">
        <v>12</v>
      </c>
      <c r="B3" s="10" t="s">
        <v>13</v>
      </c>
      <c r="C3" s="10" t="str">
        <f>_xlfn.XLOOKUP(A3,original_MAP!A:A,original_MAP!C:C)</f>
        <v>East</v>
      </c>
    </row>
    <row r="4" spans="1:3" x14ac:dyDescent="0.2">
      <c r="A4" s="10" t="s">
        <v>15</v>
      </c>
      <c r="B4" s="10" t="s">
        <v>16</v>
      </c>
      <c r="C4" s="10" t="str">
        <f>_xlfn.XLOOKUP(A4,original_MAP!A:A,original_MAP!C:C)</f>
        <v>East</v>
      </c>
    </row>
    <row r="5" spans="1:3" x14ac:dyDescent="0.2">
      <c r="A5" s="10" t="s">
        <v>18</v>
      </c>
      <c r="B5" s="10" t="s">
        <v>8</v>
      </c>
      <c r="C5" s="10" t="str">
        <f>_xlfn.XLOOKUP(A5,original_MAP!A:A,original_MAP!C:C)</f>
        <v>West</v>
      </c>
    </row>
    <row r="6" spans="1:3" x14ac:dyDescent="0.2">
      <c r="A6" s="10" t="s">
        <v>20</v>
      </c>
      <c r="B6" s="10" t="s">
        <v>16</v>
      </c>
      <c r="C6" s="10" t="str">
        <f>_xlfn.XLOOKUP(A6,original_MAP!A:A,original_MAP!C:C)</f>
        <v>East</v>
      </c>
    </row>
    <row r="7" spans="1:3" x14ac:dyDescent="0.2">
      <c r="A7" s="10" t="s">
        <v>22</v>
      </c>
      <c r="B7" s="10" t="s">
        <v>8</v>
      </c>
      <c r="C7" s="10" t="str">
        <f>_xlfn.XLOOKUP(A7,original_MAP!A:A,original_MAP!C:C)</f>
        <v>West</v>
      </c>
    </row>
    <row r="8" spans="1:3" x14ac:dyDescent="0.2">
      <c r="A8" s="10" t="s">
        <v>21</v>
      </c>
      <c r="B8" s="10" t="s">
        <v>8</v>
      </c>
      <c r="C8" s="10" t="str">
        <f>_xlfn.XLOOKUP(A8,original_MAP!A:A,original_MAP!C:C)</f>
        <v>West</v>
      </c>
    </row>
    <row r="9" spans="1:3" x14ac:dyDescent="0.2">
      <c r="A9" s="10" t="s">
        <v>25</v>
      </c>
      <c r="B9" s="10" t="s">
        <v>16</v>
      </c>
      <c r="C9" s="10" t="str">
        <f>_xlfn.XLOOKUP(A9,original_MAP!A:A,original_MAP!C:C)</f>
        <v>East</v>
      </c>
    </row>
    <row r="10" spans="1:3" x14ac:dyDescent="0.2">
      <c r="A10" s="10" t="s">
        <v>26</v>
      </c>
      <c r="B10" s="10" t="s">
        <v>16</v>
      </c>
      <c r="C10" s="10" t="str">
        <f>_xlfn.XLOOKUP(A10,original_MAP!A:A,original_MAP!C:C)</f>
        <v>East</v>
      </c>
    </row>
    <row r="11" spans="1:3" x14ac:dyDescent="0.2">
      <c r="A11" s="10" t="s">
        <v>28</v>
      </c>
      <c r="B11" s="10" t="s">
        <v>16</v>
      </c>
      <c r="C11" s="10" t="str">
        <f>_xlfn.XLOOKUP(A11,original_MAP!A:A,original_MAP!C:C)</f>
        <v>East</v>
      </c>
    </row>
    <row r="12" spans="1:3" x14ac:dyDescent="0.2">
      <c r="A12" s="10" t="s">
        <v>23</v>
      </c>
      <c r="B12" s="10" t="s">
        <v>13</v>
      </c>
      <c r="C12" s="10" t="str">
        <f>_xlfn.XLOOKUP(A12,original_MAP!A:A,original_MAP!C:C)</f>
        <v>West</v>
      </c>
    </row>
    <row r="13" spans="1:3" x14ac:dyDescent="0.2">
      <c r="A13" s="10" t="s">
        <v>31</v>
      </c>
      <c r="B13" s="10" t="s">
        <v>13</v>
      </c>
      <c r="C13" s="10" t="str">
        <f>_xlfn.XLOOKUP(A13,original_MAP!A:A,original_MAP!C:C)</f>
        <v>East</v>
      </c>
    </row>
    <row r="14" spans="1:3" x14ac:dyDescent="0.2">
      <c r="A14" s="10" t="s">
        <v>33</v>
      </c>
      <c r="B14" s="10" t="s">
        <v>13</v>
      </c>
      <c r="C14" s="10" t="str">
        <f>_xlfn.XLOOKUP(A14,original_MAP!A:A,original_MAP!C:C)</f>
        <v>East</v>
      </c>
    </row>
    <row r="15" spans="1:3" x14ac:dyDescent="0.2">
      <c r="A15" s="10" t="s">
        <v>19</v>
      </c>
      <c r="B15" s="10" t="s">
        <v>13</v>
      </c>
      <c r="C15" s="10" t="str">
        <f>_xlfn.XLOOKUP(A15,original_MAP!A:A,original_MAP!C:C)</f>
        <v>West</v>
      </c>
    </row>
    <row r="16" spans="1:3" x14ac:dyDescent="0.2">
      <c r="A16" s="10" t="s">
        <v>27</v>
      </c>
      <c r="B16" s="10" t="s">
        <v>8</v>
      </c>
      <c r="C16" s="10" t="str">
        <f>_xlfn.XLOOKUP(A16,original_MAP!A:A,original_MAP!C:C)</f>
        <v>West</v>
      </c>
    </row>
    <row r="17" spans="1:3" x14ac:dyDescent="0.2">
      <c r="A17" s="10" t="s">
        <v>36</v>
      </c>
      <c r="B17" s="10" t="s">
        <v>13</v>
      </c>
      <c r="C17" s="10" t="str">
        <f>_xlfn.XLOOKUP(A17,original_MAP!A:A,original_MAP!C:C)</f>
        <v>Central</v>
      </c>
    </row>
    <row r="18" spans="1:3" x14ac:dyDescent="0.2">
      <c r="A18" s="10" t="s">
        <v>37</v>
      </c>
      <c r="B18" s="10" t="s">
        <v>13</v>
      </c>
      <c r="C18" s="10" t="str">
        <f>_xlfn.XLOOKUP(A18,original_MAP!A:A,original_MAP!C:C)</f>
        <v>Central</v>
      </c>
    </row>
    <row r="19" spans="1:3" x14ac:dyDescent="0.2">
      <c r="A19" s="10" t="s">
        <v>41</v>
      </c>
      <c r="B19" s="10" t="s">
        <v>13</v>
      </c>
      <c r="C19" s="10" t="str">
        <f>_xlfn.XLOOKUP(A19,original_MAP!A:A,original_MAP!C:C)</f>
        <v>Central</v>
      </c>
    </row>
    <row r="20" spans="1:3" x14ac:dyDescent="0.2">
      <c r="A20" s="10" t="s">
        <v>24</v>
      </c>
      <c r="B20" s="10" t="s">
        <v>8</v>
      </c>
      <c r="C20" s="10" t="str">
        <f>_xlfn.XLOOKUP(A20,original_MAP!A:A,original_MAP!C:C)</f>
        <v>West</v>
      </c>
    </row>
    <row r="21" spans="1:3" x14ac:dyDescent="0.2">
      <c r="A21" s="10" t="s">
        <v>44</v>
      </c>
      <c r="B21" s="10" t="s">
        <v>16</v>
      </c>
      <c r="C21" s="10" t="str">
        <f>_xlfn.XLOOKUP(A21,original_MAP!A:A,original_MAP!C:C)</f>
        <v>East</v>
      </c>
    </row>
    <row r="22" spans="1:3" x14ac:dyDescent="0.2">
      <c r="A22" s="10" t="s">
        <v>46</v>
      </c>
      <c r="B22" s="10" t="s">
        <v>16</v>
      </c>
      <c r="C22" s="10" t="str">
        <f>_xlfn.XLOOKUP(A22,original_MAP!A:A,original_MAP!C:C)</f>
        <v>East</v>
      </c>
    </row>
    <row r="23" spans="1:3" x14ac:dyDescent="0.2">
      <c r="A23" s="10" t="s">
        <v>48</v>
      </c>
      <c r="B23" s="10" t="s">
        <v>13</v>
      </c>
      <c r="C23" s="10" t="str">
        <f>_xlfn.XLOOKUP(A23,original_MAP!A:A,original_MAP!C:C)</f>
        <v>Central</v>
      </c>
    </row>
    <row r="24" spans="1:3" x14ac:dyDescent="0.2">
      <c r="A24" s="10" t="s">
        <v>50</v>
      </c>
      <c r="B24" s="10" t="s">
        <v>13</v>
      </c>
      <c r="C24" s="10" t="str">
        <f>_xlfn.XLOOKUP(A24,original_MAP!A:A,original_MAP!C:C)</f>
        <v>Central</v>
      </c>
    </row>
    <row r="25" spans="1:3" x14ac:dyDescent="0.2">
      <c r="A25" s="10" t="s">
        <v>29</v>
      </c>
      <c r="B25" s="10" t="s">
        <v>8</v>
      </c>
      <c r="C25" s="10" t="str">
        <f>_xlfn.XLOOKUP(A25,original_MAP!A:A,original_MAP!C:C)</f>
        <v>West</v>
      </c>
    </row>
    <row r="26" spans="1:3" x14ac:dyDescent="0.2">
      <c r="A26" s="10" t="s">
        <v>52</v>
      </c>
      <c r="B26" s="10" t="s">
        <v>13</v>
      </c>
      <c r="C26" s="10" t="str">
        <f>_xlfn.XLOOKUP(A26,original_MAP!A:A,original_MAP!C:C)</f>
        <v>Central</v>
      </c>
    </row>
    <row r="27" spans="1:3" x14ac:dyDescent="0.2">
      <c r="A27" s="10" t="s">
        <v>53</v>
      </c>
      <c r="B27" s="10" t="s">
        <v>13</v>
      </c>
      <c r="C27" s="10" t="str">
        <f>_xlfn.XLOOKUP(A27,original_MAP!A:A,original_MAP!C:C)</f>
        <v>Central</v>
      </c>
    </row>
    <row r="28" spans="1:3" x14ac:dyDescent="0.2">
      <c r="A28" s="10" t="s">
        <v>54</v>
      </c>
      <c r="B28" s="10" t="s">
        <v>13</v>
      </c>
      <c r="C28" s="10" t="str">
        <f>_xlfn.XLOOKUP(A28,original_MAP!A:A,original_MAP!C:C)</f>
        <v>Central</v>
      </c>
    </row>
    <row r="29" spans="1:3" x14ac:dyDescent="0.2">
      <c r="A29" s="10" t="s">
        <v>55</v>
      </c>
      <c r="B29" s="10" t="s">
        <v>13</v>
      </c>
      <c r="C29" s="10" t="str">
        <f>_xlfn.XLOOKUP(A29,original_MAP!A:A,original_MAP!C:C)</f>
        <v>East</v>
      </c>
    </row>
    <row r="30" spans="1:3" x14ac:dyDescent="0.2">
      <c r="A30" s="10" t="s">
        <v>57</v>
      </c>
      <c r="B30" s="10" t="s">
        <v>58</v>
      </c>
      <c r="C30" s="10" t="str">
        <f>_xlfn.XLOOKUP(A30,original_MAP!A:A,original_MAP!C:C)</f>
        <v>Control</v>
      </c>
    </row>
    <row r="31" spans="1:3" x14ac:dyDescent="0.2">
      <c r="A31" s="10" t="s">
        <v>60</v>
      </c>
      <c r="B31" s="10" t="s">
        <v>58</v>
      </c>
      <c r="C31" s="10" t="str">
        <f>_xlfn.XLOOKUP(A31,original_MAP!A:A,original_MAP!C:C)</f>
        <v>Control</v>
      </c>
    </row>
    <row r="32" spans="1:3" x14ac:dyDescent="0.2">
      <c r="A32" s="10" t="s">
        <v>51</v>
      </c>
      <c r="B32" s="10" t="s">
        <v>40</v>
      </c>
      <c r="C32" s="10" t="str">
        <f>_xlfn.XLOOKUP(A32,original_MAP!A:A,original_MAP!C:C)</f>
        <v>East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32B98-C173-B740-AF55-E51E14973F63}">
  <dimension ref="A1:J71"/>
  <sheetViews>
    <sheetView topLeftCell="A20" workbookViewId="0">
      <selection activeCell="C34" sqref="C34:C50"/>
    </sheetView>
  </sheetViews>
  <sheetFormatPr baseColWidth="10" defaultRowHeight="16" x14ac:dyDescent="0.2"/>
  <cols>
    <col min="1" max="1" width="12.5" bestFit="1" customWidth="1"/>
    <col min="2" max="2" width="8.6640625" bestFit="1" customWidth="1"/>
    <col min="3" max="3" width="7" bestFit="1" customWidth="1"/>
    <col min="4" max="4" width="14.6640625" bestFit="1" customWidth="1"/>
    <col min="5" max="5" width="11.1640625" bestFit="1" customWidth="1"/>
  </cols>
  <sheetData>
    <row r="1" spans="1:10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H1" t="s">
        <v>5</v>
      </c>
      <c r="I1" t="s">
        <v>4</v>
      </c>
      <c r="J1" t="s">
        <v>2</v>
      </c>
    </row>
    <row r="2" spans="1:10" x14ac:dyDescent="0.2">
      <c r="A2" s="3" t="s">
        <v>6</v>
      </c>
      <c r="B2" s="1" t="s">
        <v>7</v>
      </c>
      <c r="C2" s="1" t="s">
        <v>8</v>
      </c>
      <c r="D2" s="1" t="s">
        <v>9</v>
      </c>
      <c r="E2" s="1" t="s">
        <v>8</v>
      </c>
      <c r="H2" t="s">
        <v>10</v>
      </c>
      <c r="I2" t="s">
        <v>8</v>
      </c>
      <c r="J2" t="str">
        <f>_xlfn.XLOOKUP(H2,A:A,C:C)</f>
        <v>West</v>
      </c>
    </row>
    <row r="3" spans="1:10" x14ac:dyDescent="0.2">
      <c r="A3" s="3" t="s">
        <v>11</v>
      </c>
      <c r="B3" s="1" t="s">
        <v>7</v>
      </c>
      <c r="C3" s="1" t="s">
        <v>8</v>
      </c>
      <c r="D3" s="1" t="s">
        <v>9</v>
      </c>
      <c r="E3" s="1" t="s">
        <v>8</v>
      </c>
      <c r="H3" t="s">
        <v>12</v>
      </c>
      <c r="I3" t="s">
        <v>13</v>
      </c>
      <c r="J3" t="str">
        <f t="shared" ref="J3:J32" si="0">_xlfn.XLOOKUP(H3,A:A,C:C)</f>
        <v>East</v>
      </c>
    </row>
    <row r="4" spans="1:10" x14ac:dyDescent="0.2">
      <c r="A4" s="4" t="s">
        <v>14</v>
      </c>
      <c r="B4" s="3" t="s">
        <v>7</v>
      </c>
      <c r="C4" s="3" t="s">
        <v>8</v>
      </c>
      <c r="D4" s="3" t="s">
        <v>9</v>
      </c>
      <c r="E4" s="1" t="s">
        <v>8</v>
      </c>
      <c r="H4" t="s">
        <v>15</v>
      </c>
      <c r="I4" t="s">
        <v>16</v>
      </c>
      <c r="J4" t="str">
        <f t="shared" si="0"/>
        <v>East</v>
      </c>
    </row>
    <row r="5" spans="1:10" x14ac:dyDescent="0.2">
      <c r="A5" s="4" t="s">
        <v>17</v>
      </c>
      <c r="B5" s="3" t="s">
        <v>7</v>
      </c>
      <c r="C5" s="3" t="s">
        <v>8</v>
      </c>
      <c r="D5" s="3" t="s">
        <v>9</v>
      </c>
      <c r="E5" s="1" t="s">
        <v>8</v>
      </c>
      <c r="H5" t="s">
        <v>18</v>
      </c>
      <c r="I5" t="s">
        <v>8</v>
      </c>
      <c r="J5" t="str">
        <f t="shared" si="0"/>
        <v>West</v>
      </c>
    </row>
    <row r="6" spans="1:10" x14ac:dyDescent="0.2">
      <c r="A6" s="1" t="s">
        <v>19</v>
      </c>
      <c r="B6" s="1" t="s">
        <v>7</v>
      </c>
      <c r="C6" s="3" t="s">
        <v>8</v>
      </c>
      <c r="D6" s="1" t="s">
        <v>9</v>
      </c>
      <c r="E6" s="1" t="s">
        <v>13</v>
      </c>
      <c r="H6" t="s">
        <v>20</v>
      </c>
      <c r="I6" t="s">
        <v>16</v>
      </c>
      <c r="J6" t="str">
        <f t="shared" si="0"/>
        <v>East</v>
      </c>
    </row>
    <row r="7" spans="1:10" x14ac:dyDescent="0.2">
      <c r="A7" s="1" t="s">
        <v>21</v>
      </c>
      <c r="B7" s="1" t="s">
        <v>7</v>
      </c>
      <c r="C7" s="1" t="s">
        <v>8</v>
      </c>
      <c r="D7" s="1" t="s">
        <v>9</v>
      </c>
      <c r="E7" s="1" t="s">
        <v>8</v>
      </c>
      <c r="H7" t="s">
        <v>22</v>
      </c>
      <c r="I7" t="s">
        <v>8</v>
      </c>
      <c r="J7" t="str">
        <f t="shared" si="0"/>
        <v>West</v>
      </c>
    </row>
    <row r="8" spans="1:10" x14ac:dyDescent="0.2">
      <c r="A8" s="1" t="s">
        <v>23</v>
      </c>
      <c r="B8" s="1" t="s">
        <v>7</v>
      </c>
      <c r="C8" s="3" t="s">
        <v>8</v>
      </c>
      <c r="D8" s="1" t="s">
        <v>9</v>
      </c>
      <c r="E8" s="1" t="s">
        <v>13</v>
      </c>
      <c r="H8" t="s">
        <v>21</v>
      </c>
      <c r="I8" t="s">
        <v>8</v>
      </c>
      <c r="J8" t="str">
        <f t="shared" si="0"/>
        <v>West</v>
      </c>
    </row>
    <row r="9" spans="1:10" x14ac:dyDescent="0.2">
      <c r="A9" s="1" t="s">
        <v>24</v>
      </c>
      <c r="B9" s="1" t="s">
        <v>7</v>
      </c>
      <c r="C9" s="1" t="s">
        <v>8</v>
      </c>
      <c r="D9" s="1" t="s">
        <v>9</v>
      </c>
      <c r="E9" s="1" t="s">
        <v>8</v>
      </c>
      <c r="H9" t="s">
        <v>25</v>
      </c>
      <c r="I9" t="s">
        <v>16</v>
      </c>
      <c r="J9" t="str">
        <f t="shared" si="0"/>
        <v>East</v>
      </c>
    </row>
    <row r="10" spans="1:10" x14ac:dyDescent="0.2">
      <c r="A10" s="1" t="s">
        <v>22</v>
      </c>
      <c r="B10" s="1" t="s">
        <v>7</v>
      </c>
      <c r="C10" s="1" t="s">
        <v>8</v>
      </c>
      <c r="D10" s="1" t="s">
        <v>9</v>
      </c>
      <c r="E10" s="1" t="s">
        <v>8</v>
      </c>
      <c r="H10" t="s">
        <v>26</v>
      </c>
      <c r="I10" t="s">
        <v>16</v>
      </c>
      <c r="J10" t="str">
        <f t="shared" si="0"/>
        <v>East</v>
      </c>
    </row>
    <row r="11" spans="1:10" x14ac:dyDescent="0.2">
      <c r="A11" s="1" t="s">
        <v>27</v>
      </c>
      <c r="B11" s="1" t="s">
        <v>7</v>
      </c>
      <c r="C11" s="1" t="s">
        <v>8</v>
      </c>
      <c r="D11" s="1" t="s">
        <v>9</v>
      </c>
      <c r="E11" s="1" t="s">
        <v>8</v>
      </c>
      <c r="H11" t="s">
        <v>28</v>
      </c>
      <c r="I11" t="s">
        <v>16</v>
      </c>
      <c r="J11" t="str">
        <f t="shared" si="0"/>
        <v>East</v>
      </c>
    </row>
    <row r="12" spans="1:10" x14ac:dyDescent="0.2">
      <c r="A12" s="1" t="s">
        <v>29</v>
      </c>
      <c r="B12" s="1" t="s">
        <v>7</v>
      </c>
      <c r="C12" s="1" t="s">
        <v>8</v>
      </c>
      <c r="D12" s="1" t="s">
        <v>9</v>
      </c>
      <c r="E12" s="1" t="s">
        <v>8</v>
      </c>
      <c r="H12" t="s">
        <v>23</v>
      </c>
      <c r="I12" t="s">
        <v>13</v>
      </c>
      <c r="J12" t="str">
        <f t="shared" si="0"/>
        <v>West</v>
      </c>
    </row>
    <row r="13" spans="1:10" x14ac:dyDescent="0.2">
      <c r="A13" s="4" t="s">
        <v>30</v>
      </c>
      <c r="B13" s="3" t="s">
        <v>7</v>
      </c>
      <c r="C13" s="5" t="s">
        <v>16</v>
      </c>
      <c r="D13" s="3" t="s">
        <v>9</v>
      </c>
      <c r="E13" s="1" t="s">
        <v>16</v>
      </c>
      <c r="H13" t="s">
        <v>31</v>
      </c>
      <c r="I13" t="s">
        <v>13</v>
      </c>
      <c r="J13" t="str">
        <f t="shared" si="0"/>
        <v>East</v>
      </c>
    </row>
    <row r="14" spans="1:10" x14ac:dyDescent="0.2">
      <c r="A14" s="4" t="s">
        <v>32</v>
      </c>
      <c r="B14" s="3" t="s">
        <v>7</v>
      </c>
      <c r="C14" s="5" t="s">
        <v>16</v>
      </c>
      <c r="D14" s="3" t="s">
        <v>9</v>
      </c>
      <c r="E14" s="1" t="s">
        <v>16</v>
      </c>
      <c r="H14" t="s">
        <v>33</v>
      </c>
      <c r="I14" t="s">
        <v>13</v>
      </c>
      <c r="J14" t="str">
        <f t="shared" si="0"/>
        <v>East</v>
      </c>
    </row>
    <row r="15" spans="1:10" x14ac:dyDescent="0.2">
      <c r="A15" s="3" t="s">
        <v>34</v>
      </c>
      <c r="B15" s="3" t="s">
        <v>7</v>
      </c>
      <c r="C15" s="5" t="s">
        <v>16</v>
      </c>
      <c r="D15" s="3" t="s">
        <v>9</v>
      </c>
      <c r="E15" s="1" t="s">
        <v>13</v>
      </c>
      <c r="H15" t="s">
        <v>19</v>
      </c>
      <c r="I15" t="s">
        <v>13</v>
      </c>
      <c r="J15" t="str">
        <f t="shared" si="0"/>
        <v>West</v>
      </c>
    </row>
    <row r="16" spans="1:10" x14ac:dyDescent="0.2">
      <c r="A16" s="3" t="s">
        <v>35</v>
      </c>
      <c r="B16" s="3" t="s">
        <v>7</v>
      </c>
      <c r="C16" s="5" t="s">
        <v>16</v>
      </c>
      <c r="D16" s="3" t="s">
        <v>9</v>
      </c>
      <c r="E16" s="1" t="s">
        <v>13</v>
      </c>
      <c r="H16" t="s">
        <v>27</v>
      </c>
      <c r="I16" t="s">
        <v>8</v>
      </c>
      <c r="J16" t="str">
        <f t="shared" si="0"/>
        <v>West</v>
      </c>
    </row>
    <row r="17" spans="1:10" x14ac:dyDescent="0.2">
      <c r="A17" s="1" t="s">
        <v>15</v>
      </c>
      <c r="B17" s="1" t="s">
        <v>7</v>
      </c>
      <c r="C17" s="5" t="s">
        <v>16</v>
      </c>
      <c r="D17" s="1" t="s">
        <v>9</v>
      </c>
      <c r="E17" s="1" t="s">
        <v>16</v>
      </c>
      <c r="H17" t="s">
        <v>36</v>
      </c>
      <c r="I17" t="s">
        <v>13</v>
      </c>
      <c r="J17" t="str">
        <f t="shared" si="0"/>
        <v>Central</v>
      </c>
    </row>
    <row r="18" spans="1:10" x14ac:dyDescent="0.2">
      <c r="A18" s="1" t="s">
        <v>31</v>
      </c>
      <c r="B18" s="1" t="s">
        <v>7</v>
      </c>
      <c r="C18" s="5" t="s">
        <v>16</v>
      </c>
      <c r="D18" s="1" t="s">
        <v>9</v>
      </c>
      <c r="E18" s="1" t="s">
        <v>13</v>
      </c>
      <c r="H18" t="s">
        <v>37</v>
      </c>
      <c r="I18" t="s">
        <v>13</v>
      </c>
      <c r="J18" t="str">
        <f t="shared" si="0"/>
        <v>Central</v>
      </c>
    </row>
    <row r="19" spans="1:10" x14ac:dyDescent="0.2">
      <c r="A19" s="1" t="s">
        <v>38</v>
      </c>
      <c r="B19" s="1" t="s">
        <v>39</v>
      </c>
      <c r="C19" s="5" t="s">
        <v>16</v>
      </c>
      <c r="D19" s="1" t="s">
        <v>39</v>
      </c>
      <c r="E19" s="1" t="s">
        <v>40</v>
      </c>
      <c r="H19" t="s">
        <v>41</v>
      </c>
      <c r="I19" t="s">
        <v>13</v>
      </c>
      <c r="J19" t="str">
        <f t="shared" si="0"/>
        <v>Central</v>
      </c>
    </row>
    <row r="20" spans="1:10" x14ac:dyDescent="0.2">
      <c r="A20" s="3" t="s">
        <v>42</v>
      </c>
      <c r="B20" s="1" t="s">
        <v>39</v>
      </c>
      <c r="C20" s="5" t="s">
        <v>16</v>
      </c>
      <c r="D20" s="1" t="s">
        <v>39</v>
      </c>
      <c r="E20" s="1" t="s">
        <v>40</v>
      </c>
      <c r="H20" t="s">
        <v>24</v>
      </c>
      <c r="I20" t="s">
        <v>8</v>
      </c>
      <c r="J20" t="str">
        <f t="shared" si="0"/>
        <v>West</v>
      </c>
    </row>
    <row r="21" spans="1:10" x14ac:dyDescent="0.2">
      <c r="A21" s="3" t="s">
        <v>43</v>
      </c>
      <c r="B21" s="1" t="s">
        <v>39</v>
      </c>
      <c r="C21" s="5" t="s">
        <v>16</v>
      </c>
      <c r="D21" s="1" t="s">
        <v>39</v>
      </c>
      <c r="E21" s="1" t="s">
        <v>40</v>
      </c>
      <c r="H21" t="s">
        <v>44</v>
      </c>
      <c r="I21" t="s">
        <v>16</v>
      </c>
      <c r="J21" t="str">
        <f t="shared" si="0"/>
        <v>East</v>
      </c>
    </row>
    <row r="22" spans="1:10" x14ac:dyDescent="0.2">
      <c r="A22" s="4" t="s">
        <v>45</v>
      </c>
      <c r="B22" s="1" t="s">
        <v>39</v>
      </c>
      <c r="C22" s="5" t="s">
        <v>16</v>
      </c>
      <c r="D22" s="1" t="s">
        <v>39</v>
      </c>
      <c r="E22" s="1" t="s">
        <v>40</v>
      </c>
      <c r="H22" t="s">
        <v>46</v>
      </c>
      <c r="I22" t="s">
        <v>16</v>
      </c>
      <c r="J22" t="str">
        <f t="shared" si="0"/>
        <v>East</v>
      </c>
    </row>
    <row r="23" spans="1:10" x14ac:dyDescent="0.2">
      <c r="A23" s="4" t="s">
        <v>47</v>
      </c>
      <c r="B23" s="1" t="s">
        <v>7</v>
      </c>
      <c r="C23" s="5" t="s">
        <v>16</v>
      </c>
      <c r="D23" s="1" t="s">
        <v>9</v>
      </c>
      <c r="E23" s="1" t="s">
        <v>13</v>
      </c>
      <c r="H23" t="s">
        <v>48</v>
      </c>
      <c r="I23" t="s">
        <v>13</v>
      </c>
      <c r="J23" t="str">
        <f t="shared" si="0"/>
        <v>Central</v>
      </c>
    </row>
    <row r="24" spans="1:10" x14ac:dyDescent="0.2">
      <c r="A24" s="1" t="s">
        <v>49</v>
      </c>
      <c r="B24" s="1" t="s">
        <v>39</v>
      </c>
      <c r="C24" s="5" t="s">
        <v>16</v>
      </c>
      <c r="D24" s="1" t="s">
        <v>39</v>
      </c>
      <c r="H24" t="s">
        <v>50</v>
      </c>
      <c r="I24" t="s">
        <v>13</v>
      </c>
      <c r="J24" t="str">
        <f t="shared" si="0"/>
        <v>Central</v>
      </c>
    </row>
    <row r="25" spans="1:10" x14ac:dyDescent="0.2">
      <c r="A25" s="1" t="s">
        <v>51</v>
      </c>
      <c r="B25" s="1" t="s">
        <v>39</v>
      </c>
      <c r="C25" s="5" t="s">
        <v>16</v>
      </c>
      <c r="D25" s="1" t="s">
        <v>39</v>
      </c>
      <c r="H25" t="s">
        <v>29</v>
      </c>
      <c r="I25" t="s">
        <v>8</v>
      </c>
      <c r="J25" t="str">
        <f t="shared" si="0"/>
        <v>West</v>
      </c>
    </row>
    <row r="26" spans="1:10" x14ac:dyDescent="0.2">
      <c r="A26" s="1" t="s">
        <v>33</v>
      </c>
      <c r="B26" s="1" t="s">
        <v>7</v>
      </c>
      <c r="C26" s="5" t="s">
        <v>16</v>
      </c>
      <c r="D26" s="1" t="s">
        <v>9</v>
      </c>
      <c r="H26" t="s">
        <v>52</v>
      </c>
      <c r="I26" t="s">
        <v>13</v>
      </c>
      <c r="J26" t="str">
        <f t="shared" si="0"/>
        <v>Central</v>
      </c>
    </row>
    <row r="27" spans="1:10" x14ac:dyDescent="0.2">
      <c r="A27" s="1" t="s">
        <v>26</v>
      </c>
      <c r="B27" s="1" t="s">
        <v>7</v>
      </c>
      <c r="C27" s="5" t="s">
        <v>16</v>
      </c>
      <c r="D27" s="1" t="s">
        <v>9</v>
      </c>
      <c r="H27" t="s">
        <v>53</v>
      </c>
      <c r="I27" t="s">
        <v>13</v>
      </c>
      <c r="J27" t="str">
        <f t="shared" si="0"/>
        <v>Central</v>
      </c>
    </row>
    <row r="28" spans="1:10" x14ac:dyDescent="0.2">
      <c r="A28" s="1" t="s">
        <v>28</v>
      </c>
      <c r="B28" s="1" t="s">
        <v>7</v>
      </c>
      <c r="C28" s="5" t="s">
        <v>16</v>
      </c>
      <c r="D28" s="1" t="s">
        <v>9</v>
      </c>
      <c r="H28" t="s">
        <v>54</v>
      </c>
      <c r="I28" t="s">
        <v>13</v>
      </c>
      <c r="J28" t="str">
        <f t="shared" si="0"/>
        <v>Central</v>
      </c>
    </row>
    <row r="29" spans="1:10" x14ac:dyDescent="0.2">
      <c r="A29" s="1" t="s">
        <v>46</v>
      </c>
      <c r="B29" s="1" t="s">
        <v>7</v>
      </c>
      <c r="C29" s="5" t="s">
        <v>16</v>
      </c>
      <c r="D29" s="1" t="s">
        <v>9</v>
      </c>
      <c r="H29" t="s">
        <v>55</v>
      </c>
      <c r="I29" t="s">
        <v>13</v>
      </c>
      <c r="J29" t="str">
        <f t="shared" si="0"/>
        <v>East</v>
      </c>
    </row>
    <row r="30" spans="1:10" x14ac:dyDescent="0.2">
      <c r="A30" s="1" t="s">
        <v>56</v>
      </c>
      <c r="B30" s="1" t="s">
        <v>39</v>
      </c>
      <c r="C30" s="5" t="s">
        <v>16</v>
      </c>
      <c r="D30" s="1" t="s">
        <v>39</v>
      </c>
      <c r="H30" t="s">
        <v>57</v>
      </c>
      <c r="I30" t="s">
        <v>58</v>
      </c>
      <c r="J30" t="str">
        <f t="shared" si="0"/>
        <v>Control</v>
      </c>
    </row>
    <row r="31" spans="1:10" x14ac:dyDescent="0.2">
      <c r="A31" s="1" t="s">
        <v>59</v>
      </c>
      <c r="B31" s="1" t="s">
        <v>39</v>
      </c>
      <c r="C31" s="5" t="s">
        <v>16</v>
      </c>
      <c r="D31" s="1" t="s">
        <v>39</v>
      </c>
      <c r="H31" t="s">
        <v>60</v>
      </c>
      <c r="I31" t="s">
        <v>58</v>
      </c>
      <c r="J31" t="str">
        <f t="shared" si="0"/>
        <v>Control</v>
      </c>
    </row>
    <row r="32" spans="1:10" x14ac:dyDescent="0.2">
      <c r="A32" s="1" t="s">
        <v>25</v>
      </c>
      <c r="B32" s="1" t="s">
        <v>7</v>
      </c>
      <c r="C32" s="5" t="s">
        <v>16</v>
      </c>
      <c r="D32" s="1" t="s">
        <v>9</v>
      </c>
      <c r="H32" t="s">
        <v>51</v>
      </c>
      <c r="I32" t="s">
        <v>40</v>
      </c>
      <c r="J32" t="str">
        <f t="shared" si="0"/>
        <v>East</v>
      </c>
    </row>
    <row r="33" spans="1:4" x14ac:dyDescent="0.2">
      <c r="A33" s="1" t="s">
        <v>44</v>
      </c>
      <c r="B33" s="1" t="s">
        <v>7</v>
      </c>
      <c r="C33" s="5" t="s">
        <v>16</v>
      </c>
      <c r="D33" s="1" t="s">
        <v>9</v>
      </c>
    </row>
    <row r="34" spans="1:4" x14ac:dyDescent="0.2">
      <c r="A34" s="6" t="s">
        <v>61</v>
      </c>
      <c r="B34" s="6" t="s">
        <v>7</v>
      </c>
      <c r="C34" s="6" t="s">
        <v>58</v>
      </c>
      <c r="D34" s="6" t="s">
        <v>58</v>
      </c>
    </row>
    <row r="35" spans="1:4" x14ac:dyDescent="0.2">
      <c r="A35" s="6" t="s">
        <v>62</v>
      </c>
      <c r="B35" s="6" t="s">
        <v>7</v>
      </c>
      <c r="C35" s="6" t="s">
        <v>58</v>
      </c>
      <c r="D35" s="6" t="s">
        <v>58</v>
      </c>
    </row>
    <row r="36" spans="1:4" x14ac:dyDescent="0.2">
      <c r="A36" s="6" t="s">
        <v>63</v>
      </c>
      <c r="B36" s="6" t="s">
        <v>7</v>
      </c>
      <c r="C36" s="6" t="s">
        <v>58</v>
      </c>
      <c r="D36" s="6" t="s">
        <v>58</v>
      </c>
    </row>
    <row r="37" spans="1:4" x14ac:dyDescent="0.2">
      <c r="A37" s="6" t="s">
        <v>64</v>
      </c>
      <c r="B37" s="6" t="s">
        <v>7</v>
      </c>
      <c r="C37" s="6" t="s">
        <v>58</v>
      </c>
      <c r="D37" s="6" t="s">
        <v>58</v>
      </c>
    </row>
    <row r="38" spans="1:4" x14ac:dyDescent="0.2">
      <c r="A38" s="6" t="s">
        <v>57</v>
      </c>
      <c r="B38" s="6" t="s">
        <v>7</v>
      </c>
      <c r="C38" s="6" t="s">
        <v>58</v>
      </c>
      <c r="D38" s="6" t="s">
        <v>58</v>
      </c>
    </row>
    <row r="39" spans="1:4" x14ac:dyDescent="0.2">
      <c r="A39" s="6" t="s">
        <v>65</v>
      </c>
      <c r="B39" s="6" t="s">
        <v>7</v>
      </c>
      <c r="C39" s="6" t="s">
        <v>58</v>
      </c>
      <c r="D39" s="6" t="s">
        <v>58</v>
      </c>
    </row>
    <row r="40" spans="1:4" x14ac:dyDescent="0.2">
      <c r="A40" s="6" t="s">
        <v>66</v>
      </c>
      <c r="B40" s="6" t="s">
        <v>7</v>
      </c>
      <c r="C40" s="6" t="s">
        <v>58</v>
      </c>
      <c r="D40" s="6" t="s">
        <v>58</v>
      </c>
    </row>
    <row r="41" spans="1:4" x14ac:dyDescent="0.2">
      <c r="A41" s="6" t="s">
        <v>67</v>
      </c>
      <c r="B41" s="6" t="s">
        <v>7</v>
      </c>
      <c r="C41" s="6" t="s">
        <v>58</v>
      </c>
      <c r="D41" s="6" t="s">
        <v>58</v>
      </c>
    </row>
    <row r="42" spans="1:4" x14ac:dyDescent="0.2">
      <c r="A42" s="6" t="s">
        <v>68</v>
      </c>
      <c r="B42" s="6" t="s">
        <v>7</v>
      </c>
      <c r="C42" s="6" t="s">
        <v>58</v>
      </c>
      <c r="D42" s="6" t="s">
        <v>58</v>
      </c>
    </row>
    <row r="43" spans="1:4" x14ac:dyDescent="0.2">
      <c r="A43" s="6" t="s">
        <v>69</v>
      </c>
      <c r="B43" s="6" t="s">
        <v>7</v>
      </c>
      <c r="C43" s="6" t="s">
        <v>58</v>
      </c>
      <c r="D43" s="6" t="s">
        <v>58</v>
      </c>
    </row>
    <row r="44" spans="1:4" x14ac:dyDescent="0.2">
      <c r="A44" s="6" t="s">
        <v>70</v>
      </c>
      <c r="B44" s="6" t="s">
        <v>7</v>
      </c>
      <c r="C44" s="6" t="s">
        <v>58</v>
      </c>
      <c r="D44" s="6" t="s">
        <v>58</v>
      </c>
    </row>
    <row r="45" spans="1:4" x14ac:dyDescent="0.2">
      <c r="A45" s="6" t="s">
        <v>71</v>
      </c>
      <c r="B45" s="6" t="s">
        <v>7</v>
      </c>
      <c r="C45" s="6" t="s">
        <v>58</v>
      </c>
      <c r="D45" s="6" t="s">
        <v>58</v>
      </c>
    </row>
    <row r="46" spans="1:4" x14ac:dyDescent="0.2">
      <c r="A46" s="6" t="s">
        <v>72</v>
      </c>
      <c r="B46" s="6" t="s">
        <v>7</v>
      </c>
      <c r="C46" s="6" t="s">
        <v>58</v>
      </c>
      <c r="D46" s="6" t="s">
        <v>58</v>
      </c>
    </row>
    <row r="47" spans="1:4" x14ac:dyDescent="0.2">
      <c r="A47" s="6" t="s">
        <v>60</v>
      </c>
      <c r="B47" s="6" t="s">
        <v>7</v>
      </c>
      <c r="C47" s="6" t="s">
        <v>58</v>
      </c>
      <c r="D47" s="6" t="s">
        <v>58</v>
      </c>
    </row>
    <row r="48" spans="1:4" x14ac:dyDescent="0.2">
      <c r="A48" s="6" t="s">
        <v>73</v>
      </c>
      <c r="B48" s="6" t="s">
        <v>7</v>
      </c>
      <c r="C48" s="6" t="s">
        <v>58</v>
      </c>
      <c r="D48" s="6" t="s">
        <v>58</v>
      </c>
    </row>
    <row r="49" spans="1:4" x14ac:dyDescent="0.2">
      <c r="A49" s="6" t="s">
        <v>74</v>
      </c>
      <c r="B49" s="6" t="s">
        <v>7</v>
      </c>
      <c r="C49" s="6" t="s">
        <v>58</v>
      </c>
      <c r="D49" s="6" t="s">
        <v>58</v>
      </c>
    </row>
    <row r="50" spans="1:4" x14ac:dyDescent="0.2">
      <c r="A50" s="6" t="s">
        <v>75</v>
      </c>
      <c r="B50" s="6" t="s">
        <v>7</v>
      </c>
      <c r="C50" s="6" t="s">
        <v>58</v>
      </c>
      <c r="D50" s="6" t="s">
        <v>58</v>
      </c>
    </row>
    <row r="51" spans="1:4" x14ac:dyDescent="0.2">
      <c r="A51" s="1" t="s">
        <v>41</v>
      </c>
      <c r="B51" s="1" t="s">
        <v>7</v>
      </c>
      <c r="C51" s="1" t="s">
        <v>13</v>
      </c>
      <c r="D51" s="1" t="s">
        <v>9</v>
      </c>
    </row>
    <row r="52" spans="1:4" x14ac:dyDescent="0.2">
      <c r="A52" s="1" t="s">
        <v>50</v>
      </c>
      <c r="B52" s="1" t="s">
        <v>7</v>
      </c>
      <c r="C52" s="1" t="s">
        <v>13</v>
      </c>
      <c r="D52" s="1" t="s">
        <v>9</v>
      </c>
    </row>
    <row r="53" spans="1:4" x14ac:dyDescent="0.2">
      <c r="A53" s="1" t="s">
        <v>52</v>
      </c>
      <c r="B53" s="1" t="s">
        <v>7</v>
      </c>
      <c r="C53" s="1" t="s">
        <v>13</v>
      </c>
      <c r="D53" s="1" t="s">
        <v>9</v>
      </c>
    </row>
    <row r="54" spans="1:4" x14ac:dyDescent="0.2">
      <c r="A54" s="1" t="s">
        <v>36</v>
      </c>
      <c r="B54" s="1" t="s">
        <v>7</v>
      </c>
      <c r="C54" s="1" t="s">
        <v>13</v>
      </c>
      <c r="D54" s="1" t="s">
        <v>9</v>
      </c>
    </row>
    <row r="55" spans="1:4" x14ac:dyDescent="0.2">
      <c r="A55" s="1" t="s">
        <v>37</v>
      </c>
      <c r="B55" s="1" t="s">
        <v>7</v>
      </c>
      <c r="C55" s="1" t="s">
        <v>13</v>
      </c>
      <c r="D55" s="1" t="s">
        <v>9</v>
      </c>
    </row>
    <row r="56" spans="1:4" x14ac:dyDescent="0.2">
      <c r="A56" s="1" t="s">
        <v>48</v>
      </c>
      <c r="B56" s="1" t="s">
        <v>7</v>
      </c>
      <c r="C56" s="1" t="s">
        <v>13</v>
      </c>
      <c r="D56" s="1" t="s">
        <v>9</v>
      </c>
    </row>
    <row r="57" spans="1:4" x14ac:dyDescent="0.2">
      <c r="A57" s="1" t="s">
        <v>54</v>
      </c>
      <c r="B57" s="1" t="s">
        <v>7</v>
      </c>
      <c r="C57" s="1" t="s">
        <v>13</v>
      </c>
      <c r="D57" s="1" t="s">
        <v>9</v>
      </c>
    </row>
    <row r="58" spans="1:4" x14ac:dyDescent="0.2">
      <c r="A58" s="1" t="s">
        <v>53</v>
      </c>
      <c r="B58" s="1" t="s">
        <v>7</v>
      </c>
      <c r="C58" s="1" t="s">
        <v>13</v>
      </c>
      <c r="D58" s="1" t="s">
        <v>9</v>
      </c>
    </row>
    <row r="59" spans="1:4" x14ac:dyDescent="0.2">
      <c r="A59" s="1"/>
      <c r="B59" s="1"/>
      <c r="C59" s="1"/>
      <c r="D59" s="1"/>
    </row>
    <row r="60" spans="1:4" x14ac:dyDescent="0.2">
      <c r="A60" s="1" t="s">
        <v>76</v>
      </c>
      <c r="B60" s="1" t="s">
        <v>7</v>
      </c>
      <c r="C60" s="1" t="s">
        <v>13</v>
      </c>
      <c r="D60" s="1" t="s">
        <v>9</v>
      </c>
    </row>
    <row r="61" spans="1:4" x14ac:dyDescent="0.2">
      <c r="A61" s="7" t="s">
        <v>77</v>
      </c>
      <c r="B61" s="1"/>
      <c r="C61" s="1"/>
      <c r="D61" s="1"/>
    </row>
    <row r="62" spans="1:4" x14ac:dyDescent="0.2">
      <c r="A62" s="7" t="s">
        <v>78</v>
      </c>
      <c r="B62" s="1" t="s">
        <v>39</v>
      </c>
      <c r="C62" s="1" t="s">
        <v>16</v>
      </c>
      <c r="D62" s="1" t="s">
        <v>39</v>
      </c>
    </row>
    <row r="63" spans="1:4" x14ac:dyDescent="0.2">
      <c r="A63" s="7" t="s">
        <v>12</v>
      </c>
      <c r="B63" s="1" t="s">
        <v>7</v>
      </c>
      <c r="C63" s="1" t="s">
        <v>16</v>
      </c>
      <c r="D63" s="1" t="s">
        <v>9</v>
      </c>
    </row>
    <row r="64" spans="1:4" x14ac:dyDescent="0.2">
      <c r="A64" s="7" t="s">
        <v>55</v>
      </c>
      <c r="B64" s="1" t="s">
        <v>7</v>
      </c>
      <c r="C64" s="1" t="s">
        <v>16</v>
      </c>
      <c r="D64" s="1" t="s">
        <v>9</v>
      </c>
    </row>
    <row r="65" spans="1:4" x14ac:dyDescent="0.2">
      <c r="A65" s="7" t="s">
        <v>20</v>
      </c>
      <c r="B65" s="1" t="s">
        <v>7</v>
      </c>
      <c r="C65" s="1" t="s">
        <v>16</v>
      </c>
      <c r="D65" s="1" t="s">
        <v>9</v>
      </c>
    </row>
    <row r="66" spans="1:4" x14ac:dyDescent="0.2">
      <c r="A66" s="7" t="s">
        <v>18</v>
      </c>
      <c r="B66" s="1" t="s">
        <v>7</v>
      </c>
      <c r="C66" s="1" t="s">
        <v>8</v>
      </c>
      <c r="D66" s="1" t="s">
        <v>9</v>
      </c>
    </row>
    <row r="67" spans="1:4" x14ac:dyDescent="0.2">
      <c r="A67" s="7" t="s">
        <v>79</v>
      </c>
      <c r="B67" s="1" t="s">
        <v>39</v>
      </c>
      <c r="C67" s="1" t="s">
        <v>16</v>
      </c>
      <c r="D67" s="1" t="s">
        <v>39</v>
      </c>
    </row>
    <row r="68" spans="1:4" x14ac:dyDescent="0.2">
      <c r="A68" s="3" t="s">
        <v>10</v>
      </c>
      <c r="B68" s="1" t="s">
        <v>7</v>
      </c>
      <c r="C68" s="1" t="s">
        <v>8</v>
      </c>
      <c r="D68" s="1" t="s">
        <v>9</v>
      </c>
    </row>
    <row r="70" spans="1:4" x14ac:dyDescent="0.2">
      <c r="A70" s="8" t="s">
        <v>80</v>
      </c>
      <c r="B70" s="1" t="s">
        <v>39</v>
      </c>
      <c r="C70" s="1" t="s">
        <v>81</v>
      </c>
      <c r="D70" s="1" t="s">
        <v>81</v>
      </c>
    </row>
    <row r="71" spans="1:4" x14ac:dyDescent="0.2">
      <c r="A71" s="9" t="s">
        <v>82</v>
      </c>
      <c r="B71" s="1" t="s">
        <v>39</v>
      </c>
      <c r="C71" s="6" t="s">
        <v>58</v>
      </c>
      <c r="D71" s="6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state_to_region</vt:lpstr>
      <vt:lpstr>state_to_sgws_region</vt:lpstr>
      <vt:lpstr>MAP</vt:lpstr>
      <vt:lpstr>original_MAP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Rivera-Socarras</dc:creator>
  <cp:lastModifiedBy>Adriana Rivera-Socarras</cp:lastModifiedBy>
  <dcterms:created xsi:type="dcterms:W3CDTF">2026-03-12T20:57:24Z</dcterms:created>
  <dcterms:modified xsi:type="dcterms:W3CDTF">2026-03-12T21:59:00Z</dcterms:modified>
</cp:coreProperties>
</file>